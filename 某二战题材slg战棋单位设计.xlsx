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dministrator\Document\求职\"/>
    </mc:Choice>
  </mc:AlternateContent>
  <xr:revisionPtr revIDLastSave="0" documentId="13_ncr:1_{57B3BDAE-61EE-4A8E-A0CE-8DF091AB1B26}" xr6:coauthVersionLast="47" xr6:coauthVersionMax="47" xr10:uidLastSave="{00000000-0000-0000-0000-000000000000}"/>
  <bookViews>
    <workbookView xWindow="4530" yWindow="0" windowWidth="19230" windowHeight="21000" firstSheet="2" activeTab="8" xr2:uid="{BBEB1160-22CE-43FC-A17B-C7D55B94A4B0}"/>
  </bookViews>
  <sheets>
    <sheet name="基础" sheetId="1" r:id="rId1"/>
    <sheet name="主动性" sheetId="9" r:id="rId2"/>
    <sheet name="穿甲" sheetId="7" r:id="rId3"/>
    <sheet name="等级" sheetId="6" r:id="rId4"/>
    <sheet name="进攻方式" sheetId="8" r:id="rId5"/>
    <sheet name="攻击倍率" sheetId="5" r:id="rId6"/>
    <sheet name="士气" sheetId="4" r:id="rId7"/>
    <sheet name="装备 乘员" sheetId="2" r:id="rId8"/>
    <sheet name="伤害计算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B11" i="3"/>
  <c r="G12" i="3"/>
  <c r="C16" i="3"/>
  <c r="B16" i="3"/>
  <c r="B14" i="3"/>
  <c r="C14" i="3"/>
  <c r="C15" i="3"/>
  <c r="B15" i="3"/>
  <c r="B13" i="3"/>
  <c r="C13" i="3"/>
  <c r="F12" i="3"/>
  <c r="C12" i="3"/>
  <c r="G8" i="3" s="1"/>
  <c r="B12" i="3"/>
  <c r="F8" i="3" s="1"/>
  <c r="F11" i="3"/>
  <c r="G11" i="3"/>
  <c r="G9" i="3" l="1"/>
  <c r="G10" i="3" s="1"/>
  <c r="F9" i="3"/>
  <c r="F10" i="3" s="1"/>
  <c r="F16" i="3" s="1"/>
  <c r="G13" i="3"/>
  <c r="F14" i="3" l="1"/>
  <c r="F15" i="3"/>
  <c r="G16" i="3"/>
  <c r="G14" i="3"/>
  <c r="G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风为刃</author>
  </authors>
  <commentList>
    <comment ref="D12" authorId="0" shapeId="0" xr:uid="{69E3DA8C-ACBA-48B1-8461-4A22036DA271}">
      <text>
        <r>
          <rPr>
            <b/>
            <sz val="9"/>
            <color indexed="81"/>
            <rFont val="宋体"/>
            <family val="3"/>
            <charset val="134"/>
          </rPr>
          <t>风为刃:</t>
        </r>
        <r>
          <rPr>
            <sz val="9"/>
            <color indexed="81"/>
            <rFont val="宋体"/>
            <family val="3"/>
            <charset val="134"/>
          </rPr>
          <t xml:space="preserve">
50为近战攻击
45为远程攻击</t>
        </r>
      </text>
    </comment>
  </commentList>
</comments>
</file>

<file path=xl/sharedStrings.xml><?xml version="1.0" encoding="utf-8"?>
<sst xmlns="http://schemas.openxmlformats.org/spreadsheetml/2006/main" count="315" uniqueCount="165">
  <si>
    <t>单位名称</t>
    <phoneticPr fontId="1" type="noConversion"/>
  </si>
  <si>
    <t>血量</t>
    <phoneticPr fontId="1" type="noConversion"/>
  </si>
  <si>
    <t>攻击</t>
    <phoneticPr fontId="1" type="noConversion"/>
  </si>
  <si>
    <t>防御</t>
    <phoneticPr fontId="1" type="noConversion"/>
  </si>
  <si>
    <t>移动</t>
    <phoneticPr fontId="1" type="noConversion"/>
  </si>
  <si>
    <t>步兵</t>
    <phoneticPr fontId="1" type="noConversion"/>
  </si>
  <si>
    <t>轻步兵</t>
    <phoneticPr fontId="1" type="noConversion"/>
  </si>
  <si>
    <t>重步兵</t>
    <phoneticPr fontId="1" type="noConversion"/>
  </si>
  <si>
    <t>主动性</t>
    <phoneticPr fontId="1" type="noConversion"/>
  </si>
  <si>
    <t>生产花费</t>
    <phoneticPr fontId="1" type="noConversion"/>
  </si>
  <si>
    <t>征召令</t>
    <phoneticPr fontId="1" type="noConversion"/>
  </si>
  <si>
    <t>钢铁</t>
    <phoneticPr fontId="1" type="noConversion"/>
  </si>
  <si>
    <t>兵种</t>
    <phoneticPr fontId="1" type="noConversion"/>
  </si>
  <si>
    <t>载具</t>
    <phoneticPr fontId="1" type="noConversion"/>
  </si>
  <si>
    <t>反装甲</t>
    <phoneticPr fontId="1" type="noConversion"/>
  </si>
  <si>
    <t>装甲</t>
    <phoneticPr fontId="1" type="noConversion"/>
  </si>
  <si>
    <t>攻击方式</t>
    <phoneticPr fontId="1" type="noConversion"/>
  </si>
  <si>
    <t>突击步兵</t>
    <phoneticPr fontId="1" type="noConversion"/>
  </si>
  <si>
    <t>装甲与反装甲</t>
    <phoneticPr fontId="1" type="noConversion"/>
  </si>
  <si>
    <t>当单位有装甲时该机制会进行计算，以下是装甲与反装甲造成伤害计算方式</t>
    <phoneticPr fontId="1" type="noConversion"/>
  </si>
  <si>
    <t>含义</t>
    <phoneticPr fontId="1" type="noConversion"/>
  </si>
  <si>
    <t>深穿</t>
    <phoneticPr fontId="1" type="noConversion"/>
  </si>
  <si>
    <t>伤害倍率</t>
    <phoneticPr fontId="1" type="noConversion"/>
  </si>
  <si>
    <t>反装甲/装甲 x</t>
    <phoneticPr fontId="1" type="noConversion"/>
  </si>
  <si>
    <t>x＞1.2</t>
    <phoneticPr fontId="1" type="noConversion"/>
  </si>
  <si>
    <t>穿甲</t>
    <phoneticPr fontId="1" type="noConversion"/>
  </si>
  <si>
    <t>跳弹</t>
    <phoneticPr fontId="1" type="noConversion"/>
  </si>
  <si>
    <t>未穿</t>
    <phoneticPr fontId="1" type="noConversion"/>
  </si>
  <si>
    <t>可穿</t>
    <phoneticPr fontId="1" type="noConversion"/>
  </si>
  <si>
    <t>中坦</t>
    <phoneticPr fontId="1" type="noConversion"/>
  </si>
  <si>
    <t>重坦</t>
    <phoneticPr fontId="1" type="noConversion"/>
  </si>
  <si>
    <t>步兵炮</t>
    <phoneticPr fontId="1" type="noConversion"/>
  </si>
  <si>
    <t>士气</t>
    <phoneticPr fontId="1" type="noConversion"/>
  </si>
  <si>
    <t>极高</t>
    <phoneticPr fontId="1" type="noConversion"/>
  </si>
  <si>
    <t>高</t>
    <phoneticPr fontId="1" type="noConversion"/>
  </si>
  <si>
    <t>无</t>
  </si>
  <si>
    <t>无</t>
    <phoneticPr fontId="1" type="noConversion"/>
  </si>
  <si>
    <t>低落</t>
    <phoneticPr fontId="1" type="noConversion"/>
  </si>
  <si>
    <t>混乱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</si>
  <si>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</si>
  <si>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</si>
  <si>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</si>
  <si>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+5</t>
    <phoneticPr fontId="1" type="noConversion"/>
  </si>
  <si>
    <t>1＜ x≤1.2</t>
    <phoneticPr fontId="1" type="noConversion"/>
  </si>
  <si>
    <t>0.8＜x≤1</t>
    <phoneticPr fontId="1" type="noConversion"/>
  </si>
  <si>
    <t>0.5＜x≤0.8</t>
    <phoneticPr fontId="1" type="noConversion"/>
  </si>
  <si>
    <t>x≤0.5</t>
    <phoneticPr fontId="1" type="noConversion"/>
  </si>
  <si>
    <t>枪械</t>
    <phoneticPr fontId="1" type="noConversion"/>
  </si>
  <si>
    <t>冲锋枪</t>
    <phoneticPr fontId="1" type="noConversion"/>
  </si>
  <si>
    <t>攻击距离</t>
    <phoneticPr fontId="1" type="noConversion"/>
  </si>
  <si>
    <t>视野</t>
    <phoneticPr fontId="1" type="noConversion"/>
  </si>
  <si>
    <t>装备</t>
    <phoneticPr fontId="1" type="noConversion"/>
  </si>
  <si>
    <t>+10恢复/回合</t>
    <phoneticPr fontId="1" type="noConversion"/>
  </si>
  <si>
    <t>+3移动</t>
    <phoneticPr fontId="1" type="noConversion"/>
  </si>
  <si>
    <t>摩托化</t>
    <phoneticPr fontId="1" type="noConversion"/>
  </si>
  <si>
    <t>步兵战车</t>
    <phoneticPr fontId="1" type="noConversion"/>
  </si>
  <si>
    <t>备注</t>
    <phoneticPr fontId="1" type="noConversion"/>
  </si>
  <si>
    <t>机枪</t>
    <phoneticPr fontId="1" type="noConversion"/>
  </si>
  <si>
    <t>机炮</t>
    <phoneticPr fontId="1" type="noConversion"/>
  </si>
  <si>
    <t>坦克炮</t>
    <phoneticPr fontId="1" type="noConversion"/>
  </si>
  <si>
    <t>花费</t>
    <phoneticPr fontId="1" type="noConversion"/>
  </si>
  <si>
    <t>装备在解锁该系统之后就会一直存在，占用一个装备槽</t>
    <phoneticPr fontId="1" type="noConversion"/>
  </si>
  <si>
    <t>防守方</t>
    <phoneticPr fontId="1" type="noConversion"/>
  </si>
  <si>
    <t>输入区</t>
    <phoneticPr fontId="1" type="noConversion"/>
  </si>
  <si>
    <t>输出区</t>
    <phoneticPr fontId="1" type="noConversion"/>
  </si>
  <si>
    <t>机枪装甲车</t>
    <phoneticPr fontId="1" type="noConversion"/>
  </si>
  <si>
    <t>机炮装甲车</t>
    <phoneticPr fontId="1" type="noConversion"/>
  </si>
  <si>
    <t>机枪轻坦</t>
    <phoneticPr fontId="1" type="noConversion"/>
  </si>
  <si>
    <t>机炮轻坦</t>
    <phoneticPr fontId="1" type="noConversion"/>
  </si>
  <si>
    <t xml:space="preserve">基础随机数 </t>
    <phoneticPr fontId="1" type="noConversion"/>
  </si>
  <si>
    <t>+4</t>
    <phoneticPr fontId="1" type="noConversion"/>
  </si>
  <si>
    <t>无法移动</t>
    <phoneticPr fontId="1" type="noConversion"/>
  </si>
  <si>
    <t>火炮</t>
    <phoneticPr fontId="1" type="noConversion"/>
  </si>
  <si>
    <t>轻型火炮</t>
    <phoneticPr fontId="1" type="noConversion"/>
  </si>
  <si>
    <t>中型火炮</t>
    <phoneticPr fontId="1" type="noConversion"/>
  </si>
  <si>
    <t>重型火炮</t>
    <phoneticPr fontId="1" type="noConversion"/>
  </si>
  <si>
    <t>轻型反坦克炮</t>
    <phoneticPr fontId="1" type="noConversion"/>
  </si>
  <si>
    <t>中型反坦克炮</t>
    <phoneticPr fontId="1" type="noConversion"/>
  </si>
  <si>
    <t>重型反坦克炮</t>
    <phoneticPr fontId="1" type="noConversion"/>
  </si>
  <si>
    <t>进攻方</t>
    <phoneticPr fontId="1" type="noConversion"/>
  </si>
  <si>
    <t>基础步兵</t>
    <phoneticPr fontId="1" type="noConversion"/>
  </si>
  <si>
    <t>90/75</t>
    <phoneticPr fontId="1" type="noConversion"/>
  </si>
  <si>
    <t>+7</t>
    <phoneticPr fontId="1" type="noConversion"/>
  </si>
  <si>
    <t>+10</t>
    <phoneticPr fontId="1" type="noConversion"/>
  </si>
  <si>
    <t>伤害最小值</t>
    <phoneticPr fontId="1" type="noConversion"/>
  </si>
  <si>
    <t>伤害随机值</t>
    <phoneticPr fontId="1" type="noConversion"/>
  </si>
  <si>
    <t>伤害最大值</t>
    <phoneticPr fontId="1" type="noConversion"/>
  </si>
  <si>
    <t>0.9+0.25*RAND()</t>
    <phoneticPr fontId="1" type="noConversion"/>
  </si>
  <si>
    <t>基础伤害值</t>
    <phoneticPr fontId="1" type="noConversion"/>
  </si>
  <si>
    <t>是</t>
    <phoneticPr fontId="1" type="noConversion"/>
  </si>
  <si>
    <t>与摩托化互斥</t>
    <phoneticPr fontId="1" type="noConversion"/>
  </si>
  <si>
    <t>与步兵战车互斥</t>
    <phoneticPr fontId="1" type="noConversion"/>
  </si>
  <si>
    <t>重步兵额外 +1攻击 +2反装甲
突击步兵额外 +1攻击 +1移动</t>
    <phoneticPr fontId="1" type="noConversion"/>
  </si>
  <si>
    <t>重步兵额外 +1攻击 +1反装甲
突击步兵额外 +2反装甲 +1移动</t>
    <phoneticPr fontId="1" type="noConversion"/>
  </si>
  <si>
    <t>2~3</t>
    <phoneticPr fontId="1" type="noConversion"/>
  </si>
  <si>
    <t>1~2</t>
    <phoneticPr fontId="1" type="noConversion"/>
  </si>
  <si>
    <t>1~3</t>
    <phoneticPr fontId="1" type="noConversion"/>
  </si>
  <si>
    <t>反载具火炮</t>
    <phoneticPr fontId="1" type="noConversion"/>
  </si>
  <si>
    <t>主动性差值倍率</t>
    <phoneticPr fontId="1" type="noConversion"/>
  </si>
  <si>
    <t>主动性差值计算方式</t>
    <phoneticPr fontId="1" type="noConversion"/>
  </si>
  <si>
    <t>差值=防御方-进攻方</t>
    <phoneticPr fontId="1" type="noConversion"/>
  </si>
  <si>
    <t>该数值说明防守方在战斗中的主观能动性</t>
    <phoneticPr fontId="1" type="noConversion"/>
  </si>
  <si>
    <t>差值 x</t>
    <phoneticPr fontId="1" type="noConversion"/>
  </si>
  <si>
    <t>x＞5</t>
    <phoneticPr fontId="1" type="noConversion"/>
  </si>
  <si>
    <t>1＜x≤3</t>
    <phoneticPr fontId="1" type="noConversion"/>
  </si>
  <si>
    <t>3＜x≤5</t>
    <phoneticPr fontId="1" type="noConversion"/>
  </si>
  <si>
    <t>x=1</t>
    <phoneticPr fontId="1" type="noConversion"/>
  </si>
  <si>
    <t>-3&lt;x&lt;1</t>
    <phoneticPr fontId="1" type="noConversion"/>
  </si>
  <si>
    <t>x＜-3</t>
    <phoneticPr fontId="1" type="noConversion"/>
  </si>
  <si>
    <t>等级</t>
    <phoneticPr fontId="1" type="noConversion"/>
  </si>
  <si>
    <t>攻击力</t>
    <phoneticPr fontId="1" type="noConversion"/>
  </si>
  <si>
    <t>防御力</t>
    <phoneticPr fontId="1" type="noConversion"/>
  </si>
  <si>
    <t>交战距离</t>
    <phoneticPr fontId="1" type="noConversion"/>
  </si>
  <si>
    <t>防守方造成伤害</t>
    <phoneticPr fontId="1" type="noConversion"/>
  </si>
  <si>
    <t>反甲比值</t>
    <phoneticPr fontId="1" type="noConversion"/>
  </si>
  <si>
    <t>反甲倍率</t>
    <phoneticPr fontId="1" type="noConversion"/>
  </si>
  <si>
    <t>进攻</t>
    <phoneticPr fontId="1" type="noConversion"/>
  </si>
  <si>
    <t>防守反击</t>
    <phoneticPr fontId="1" type="noConversion"/>
  </si>
  <si>
    <t>基础步兵</t>
  </si>
  <si>
    <t>攻击效果倍率</t>
    <phoneticPr fontId="1" type="noConversion"/>
  </si>
  <si>
    <t>单位种类</t>
    <phoneticPr fontId="1" type="noConversion"/>
  </si>
  <si>
    <t>自行车</t>
    <phoneticPr fontId="1" type="noConversion"/>
  </si>
  <si>
    <t>+1移动</t>
    <phoneticPr fontId="1" type="noConversion"/>
  </si>
  <si>
    <t>减少部分地形移动惩罚</t>
    <phoneticPr fontId="1" type="noConversion"/>
  </si>
  <si>
    <t>望远镜</t>
    <phoneticPr fontId="1" type="noConversion"/>
  </si>
  <si>
    <t>电台</t>
    <phoneticPr fontId="1" type="noConversion"/>
  </si>
  <si>
    <t>山炮</t>
    <phoneticPr fontId="1" type="noConversion"/>
  </si>
  <si>
    <t>重步兵额外 +1攻击 
突击步兵额外 +1攻击 +1移动
取消所装备单位的山地移动惩罚</t>
    <phoneticPr fontId="1" type="noConversion"/>
  </si>
  <si>
    <t>步兵额外+5防御
坦克额外+5攻击</t>
    <phoneticPr fontId="1" type="noConversion"/>
  </si>
  <si>
    <t>-</t>
    <phoneticPr fontId="1" type="noConversion"/>
  </si>
  <si>
    <t>维修工具</t>
    <phoneticPr fontId="1" type="noConversion"/>
  </si>
  <si>
    <t>+15恢复/回合</t>
    <phoneticPr fontId="1" type="noConversion"/>
  </si>
  <si>
    <t>局外科技提升</t>
    <phoneticPr fontId="1" type="noConversion"/>
  </si>
  <si>
    <t>MAX（(攻击*攻方士气加成*攻击效果倍率-防御*守方士气加成)，40）*反装甲倍率*基础随机数</t>
    <phoneticPr fontId="1" type="noConversion"/>
  </si>
  <si>
    <t>MAX（(攻击*受方士气加成*攻击效果倍率*主动性效果倍率-防御*攻方士气加成)，40）*反装甲倍率*基础随机数</t>
    <phoneticPr fontId="1" type="noConversion"/>
  </si>
  <si>
    <t>装备槽</t>
    <phoneticPr fontId="1" type="noConversion"/>
  </si>
  <si>
    <t>倍率</t>
    <phoneticPr fontId="1" type="noConversion"/>
  </si>
  <si>
    <t>攻防倍率</t>
    <phoneticPr fontId="1" type="noConversion"/>
  </si>
  <si>
    <t>手持反坦</t>
    <phoneticPr fontId="1" type="noConversion"/>
  </si>
  <si>
    <t>医疗连</t>
    <phoneticPr fontId="1" type="noConversion"/>
  </si>
  <si>
    <t>火炮卡车</t>
    <phoneticPr fontId="1" type="noConversion"/>
  </si>
  <si>
    <t>属性加成</t>
    <phoneticPr fontId="1" type="noConversion"/>
  </si>
  <si>
    <t>+3攻击
-1移动</t>
    <phoneticPr fontId="1" type="noConversion"/>
  </si>
  <si>
    <t>+2移动
+5防御
+5装甲</t>
    <phoneticPr fontId="1" type="noConversion"/>
  </si>
  <si>
    <t>+1主动性
+3防御</t>
    <phoneticPr fontId="1" type="noConversion"/>
  </si>
  <si>
    <t>+2移动 
+1主动
+3防御
-5攻击</t>
    <phoneticPr fontId="1" type="noConversion"/>
  </si>
  <si>
    <t>+2 攻击
+2反装甲
-1移动</t>
    <phoneticPr fontId="1" type="noConversion"/>
  </si>
  <si>
    <t>轻型额外+1射程 最外射程攻击-4
中型额外+1射程 最外射程攻击-4
重型取消最小射程</t>
    <phoneticPr fontId="1" type="noConversion"/>
  </si>
  <si>
    <t>+1视野
+1主动性</t>
    <phoneticPr fontId="1" type="noConversion"/>
  </si>
  <si>
    <t>反甲</t>
    <phoneticPr fontId="1" type="noConversion"/>
  </si>
  <si>
    <t>攻击方式对单位伤害的倍率影响</t>
    <phoneticPr fontId="1" type="noConversion"/>
  </si>
  <si>
    <t>移动影响</t>
    <phoneticPr fontId="1" type="noConversion"/>
  </si>
  <si>
    <t>+0.2</t>
    <phoneticPr fontId="1" type="noConversion"/>
  </si>
  <si>
    <t>+0.15</t>
    <phoneticPr fontId="1" type="noConversion"/>
  </si>
  <si>
    <t>随机数基数影响</t>
    <phoneticPr fontId="1" type="noConversion"/>
  </si>
  <si>
    <t>可装备单位种类</t>
    <phoneticPr fontId="1" type="noConversion"/>
  </si>
  <si>
    <t>0.9为随机数基数</t>
    <phoneticPr fontId="1" type="noConversion"/>
  </si>
  <si>
    <t>0.25*rand()是让伤害随机</t>
    <phoneticPr fontId="1" type="noConversion"/>
  </si>
  <si>
    <t>A列表示攻击方</t>
    <phoneticPr fontId="1" type="noConversion"/>
  </si>
  <si>
    <t>行2表示攻击目标</t>
    <phoneticPr fontId="1" type="noConversion"/>
  </si>
  <si>
    <t>两者相交表示伤害方式</t>
    <phoneticPr fontId="1" type="noConversion"/>
  </si>
  <si>
    <t>反载具武器</t>
    <phoneticPr fontId="1" type="noConversion"/>
  </si>
  <si>
    <t>反载具</t>
    <phoneticPr fontId="1" type="noConversion"/>
  </si>
  <si>
    <t>进攻方造成伤害</t>
    <phoneticPr fontId="1" type="noConversion"/>
  </si>
  <si>
    <t>+1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</si>
</sst>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4" fillId="0" borderId="0" xfId="0" applyNumberFormat="1" applyFont="1" applyAlignment="1">
      <alignment horizontal="left" vertical="center" inden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workbookViewId="0">
      <selection activeCell="D12" sqref="D12"/>
    </sheetView>
  </sheetViews>
  <sheetFormatPr defaultRowHeight="14.25" x14ac:dyDescent="0.2"/>
  <cols>
    <col min="1" max="1" width="13" style="5" bestFit="1" customWidth="1"/>
    <col min="2" max="3" width="5.25" style="5" bestFit="1" customWidth="1"/>
    <col min="4" max="4" width="6.25" style="5" bestFit="1" customWidth="1"/>
    <col min="5" max="6" width="5.25" style="5" bestFit="1" customWidth="1"/>
    <col min="7" max="8" width="7.125" style="5" bestFit="1" customWidth="1"/>
    <col min="9" max="9" width="5.25" style="5" bestFit="1" customWidth="1"/>
    <col min="10" max="10" width="7.125" style="5" bestFit="1" customWidth="1"/>
    <col min="11" max="11" width="5.25" style="5" bestFit="1" customWidth="1"/>
    <col min="12" max="12" width="9" style="5" bestFit="1" customWidth="1"/>
    <col min="13" max="13" width="11" style="5" bestFit="1" customWidth="1"/>
    <col min="14" max="14" width="7.125" style="5" bestFit="1" customWidth="1"/>
    <col min="15" max="15" width="5.25" style="5" bestFit="1" customWidth="1"/>
    <col min="16" max="16" width="9" style="5"/>
    <col min="17" max="17" width="21.5" style="5" bestFit="1" customWidth="1"/>
    <col min="18" max="18" width="10.125" style="5" bestFit="1" customWidth="1"/>
    <col min="19" max="20" width="9" style="5"/>
    <col min="21" max="21" width="5.25" style="5" bestFit="1" customWidth="1"/>
    <col min="22" max="22" width="16.125" style="5" bestFit="1" customWidth="1"/>
    <col min="23" max="24" width="9" style="5"/>
    <col min="25" max="25" width="13.875" style="5" bestFit="1" customWidth="1"/>
    <col min="26" max="26" width="11" style="5" bestFit="1" customWidth="1"/>
    <col min="27" max="16384" width="9" style="5"/>
  </cols>
  <sheetData>
    <row r="1" spans="1:26" x14ac:dyDescent="0.2">
      <c r="A1" s="18" t="s">
        <v>0</v>
      </c>
      <c r="B1" s="18" t="s">
        <v>12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8</v>
      </c>
      <c r="H1" s="18" t="s">
        <v>135</v>
      </c>
      <c r="I1" s="18" t="s">
        <v>15</v>
      </c>
      <c r="J1" s="18" t="s">
        <v>14</v>
      </c>
      <c r="K1" s="18" t="s">
        <v>50</v>
      </c>
      <c r="L1" s="18" t="s">
        <v>49</v>
      </c>
      <c r="M1" s="18" t="s">
        <v>16</v>
      </c>
      <c r="N1" s="18" t="s">
        <v>9</v>
      </c>
      <c r="O1" s="18"/>
    </row>
    <row r="2" spans="1:26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3" t="s">
        <v>10</v>
      </c>
      <c r="O2" s="3" t="s">
        <v>11</v>
      </c>
    </row>
    <row r="3" spans="1:26" x14ac:dyDescent="0.2">
      <c r="A3" s="3" t="s">
        <v>80</v>
      </c>
      <c r="B3" s="2" t="s">
        <v>5</v>
      </c>
      <c r="C3" s="3">
        <v>200</v>
      </c>
      <c r="D3" s="3">
        <v>40</v>
      </c>
      <c r="E3" s="3">
        <v>20</v>
      </c>
      <c r="F3" s="3">
        <v>5</v>
      </c>
      <c r="G3" s="3">
        <v>5</v>
      </c>
      <c r="H3" s="3">
        <v>1</v>
      </c>
      <c r="I3" s="3">
        <v>0</v>
      </c>
      <c r="J3" s="3">
        <v>6</v>
      </c>
      <c r="K3" s="3">
        <v>4</v>
      </c>
      <c r="L3" s="3">
        <v>1</v>
      </c>
      <c r="M3" s="3" t="s">
        <v>47</v>
      </c>
      <c r="N3" s="3">
        <v>120</v>
      </c>
      <c r="O3" s="3"/>
    </row>
    <row r="4" spans="1:26" x14ac:dyDescent="0.2">
      <c r="A4" s="3" t="s">
        <v>6</v>
      </c>
      <c r="B4" s="2" t="s">
        <v>5</v>
      </c>
      <c r="C4" s="3">
        <v>180</v>
      </c>
      <c r="D4" s="3">
        <v>30</v>
      </c>
      <c r="E4" s="3">
        <v>18</v>
      </c>
      <c r="F4" s="3">
        <v>7</v>
      </c>
      <c r="G4" s="3">
        <v>7</v>
      </c>
      <c r="H4" s="3">
        <v>0</v>
      </c>
      <c r="I4" s="3">
        <v>0</v>
      </c>
      <c r="J4" s="3">
        <v>4</v>
      </c>
      <c r="K4" s="3">
        <v>5</v>
      </c>
      <c r="L4" s="3">
        <v>1</v>
      </c>
      <c r="M4" s="3" t="s">
        <v>47</v>
      </c>
      <c r="N4" s="3">
        <v>100</v>
      </c>
      <c r="O4" s="3"/>
    </row>
    <row r="5" spans="1:26" x14ac:dyDescent="0.2">
      <c r="A5" s="3" t="s">
        <v>7</v>
      </c>
      <c r="B5" s="2" t="s">
        <v>5</v>
      </c>
      <c r="C5" s="3">
        <v>240</v>
      </c>
      <c r="D5" s="3">
        <v>55</v>
      </c>
      <c r="E5" s="3">
        <v>30</v>
      </c>
      <c r="F5" s="3">
        <v>5</v>
      </c>
      <c r="G5" s="3">
        <v>5</v>
      </c>
      <c r="H5" s="3">
        <v>1</v>
      </c>
      <c r="I5" s="3">
        <v>0</v>
      </c>
      <c r="J5" s="3">
        <v>7</v>
      </c>
      <c r="K5" s="3">
        <v>4</v>
      </c>
      <c r="L5" s="3">
        <v>1</v>
      </c>
      <c r="M5" s="3" t="s">
        <v>47</v>
      </c>
      <c r="N5" s="3">
        <v>130</v>
      </c>
      <c r="O5" s="3">
        <v>10</v>
      </c>
    </row>
    <row r="6" spans="1:26" x14ac:dyDescent="0.2">
      <c r="A6" s="3" t="s">
        <v>17</v>
      </c>
      <c r="B6" s="2" t="s">
        <v>5</v>
      </c>
      <c r="C6" s="3">
        <v>220</v>
      </c>
      <c r="D6" s="3">
        <v>45</v>
      </c>
      <c r="E6" s="3">
        <v>20</v>
      </c>
      <c r="F6" s="3">
        <v>6</v>
      </c>
      <c r="G6" s="3">
        <v>6</v>
      </c>
      <c r="H6" s="3">
        <v>1</v>
      </c>
      <c r="I6" s="3">
        <v>0</v>
      </c>
      <c r="J6" s="3">
        <v>4</v>
      </c>
      <c r="K6" s="3">
        <v>5</v>
      </c>
      <c r="L6" s="3">
        <v>1</v>
      </c>
      <c r="M6" s="3" t="s">
        <v>48</v>
      </c>
      <c r="N6" s="3">
        <v>130</v>
      </c>
      <c r="O6" s="3"/>
    </row>
    <row r="7" spans="1:26" x14ac:dyDescent="0.2">
      <c r="A7" s="3" t="s">
        <v>65</v>
      </c>
      <c r="B7" s="3" t="s">
        <v>13</v>
      </c>
      <c r="C7" s="3">
        <v>300</v>
      </c>
      <c r="D7" s="3">
        <v>55</v>
      </c>
      <c r="E7" s="3">
        <v>30</v>
      </c>
      <c r="F7" s="3">
        <v>7</v>
      </c>
      <c r="G7" s="3">
        <v>8</v>
      </c>
      <c r="H7" s="3">
        <v>1</v>
      </c>
      <c r="I7" s="3">
        <v>8</v>
      </c>
      <c r="J7" s="3">
        <v>5</v>
      </c>
      <c r="K7" s="3">
        <v>7</v>
      </c>
      <c r="L7" s="3">
        <v>1</v>
      </c>
      <c r="M7" s="3" t="s">
        <v>57</v>
      </c>
      <c r="N7" s="3">
        <v>160</v>
      </c>
      <c r="O7" s="3">
        <v>20</v>
      </c>
    </row>
    <row r="8" spans="1:26" x14ac:dyDescent="0.2">
      <c r="A8" s="3" t="s">
        <v>66</v>
      </c>
      <c r="B8" s="3" t="s">
        <v>13</v>
      </c>
      <c r="C8" s="3">
        <v>300</v>
      </c>
      <c r="D8" s="3">
        <v>60</v>
      </c>
      <c r="E8" s="3">
        <v>30</v>
      </c>
      <c r="F8" s="3">
        <v>7</v>
      </c>
      <c r="G8" s="3">
        <v>8</v>
      </c>
      <c r="H8" s="3">
        <v>1</v>
      </c>
      <c r="I8" s="3">
        <v>8</v>
      </c>
      <c r="J8" s="3">
        <v>5</v>
      </c>
      <c r="K8" s="3">
        <v>7</v>
      </c>
      <c r="L8" s="3">
        <v>1</v>
      </c>
      <c r="M8" s="3" t="s">
        <v>58</v>
      </c>
      <c r="N8" s="3">
        <v>160</v>
      </c>
      <c r="O8" s="3">
        <v>20</v>
      </c>
      <c r="Y8" s="6"/>
      <c r="Z8" s="6"/>
    </row>
    <row r="9" spans="1:26" x14ac:dyDescent="0.2">
      <c r="A9" s="3" t="s">
        <v>67</v>
      </c>
      <c r="B9" s="3" t="s">
        <v>13</v>
      </c>
      <c r="C9" s="3">
        <v>360</v>
      </c>
      <c r="D9" s="3">
        <v>55</v>
      </c>
      <c r="E9" s="3">
        <v>35</v>
      </c>
      <c r="F9" s="3">
        <v>8</v>
      </c>
      <c r="G9" s="3">
        <v>6</v>
      </c>
      <c r="H9" s="3">
        <v>1</v>
      </c>
      <c r="I9" s="3">
        <v>10</v>
      </c>
      <c r="J9" s="3">
        <v>7</v>
      </c>
      <c r="K9" s="3">
        <v>6</v>
      </c>
      <c r="L9" s="3">
        <v>1</v>
      </c>
      <c r="M9" s="3" t="s">
        <v>57</v>
      </c>
      <c r="N9" s="3">
        <v>180</v>
      </c>
      <c r="O9" s="3">
        <v>35</v>
      </c>
    </row>
    <row r="10" spans="1:26" x14ac:dyDescent="0.2">
      <c r="A10" s="3" t="s">
        <v>68</v>
      </c>
      <c r="B10" s="3" t="s">
        <v>13</v>
      </c>
      <c r="C10" s="3">
        <v>360</v>
      </c>
      <c r="D10" s="3">
        <v>60</v>
      </c>
      <c r="E10" s="3">
        <v>35</v>
      </c>
      <c r="F10" s="3">
        <v>8</v>
      </c>
      <c r="G10" s="3">
        <v>6</v>
      </c>
      <c r="H10" s="3">
        <v>1</v>
      </c>
      <c r="I10" s="3">
        <v>10</v>
      </c>
      <c r="J10" s="3">
        <v>7</v>
      </c>
      <c r="K10" s="3">
        <v>6</v>
      </c>
      <c r="L10" s="3">
        <v>1</v>
      </c>
      <c r="M10" s="3" t="s">
        <v>58</v>
      </c>
      <c r="N10" s="3">
        <v>180</v>
      </c>
      <c r="O10" s="3">
        <v>35</v>
      </c>
    </row>
    <row r="11" spans="1:26" x14ac:dyDescent="0.2">
      <c r="A11" s="3" t="s">
        <v>29</v>
      </c>
      <c r="B11" s="3" t="s">
        <v>13</v>
      </c>
      <c r="C11" s="3">
        <v>400</v>
      </c>
      <c r="D11" s="3">
        <v>75</v>
      </c>
      <c r="E11" s="3">
        <v>40</v>
      </c>
      <c r="F11" s="3">
        <v>7</v>
      </c>
      <c r="G11" s="3">
        <v>5</v>
      </c>
      <c r="H11" s="3">
        <v>1</v>
      </c>
      <c r="I11" s="3">
        <v>14</v>
      </c>
      <c r="J11" s="3">
        <v>12</v>
      </c>
      <c r="K11" s="3">
        <v>5</v>
      </c>
      <c r="L11" s="3">
        <v>1</v>
      </c>
      <c r="M11" s="3" t="s">
        <v>59</v>
      </c>
      <c r="N11" s="3">
        <v>200</v>
      </c>
      <c r="O11" s="3">
        <v>50</v>
      </c>
    </row>
    <row r="12" spans="1:26" x14ac:dyDescent="0.2">
      <c r="A12" s="3" t="s">
        <v>30</v>
      </c>
      <c r="B12" s="3" t="s">
        <v>13</v>
      </c>
      <c r="C12" s="3">
        <v>600</v>
      </c>
      <c r="D12" s="3" t="s">
        <v>81</v>
      </c>
      <c r="E12" s="3">
        <v>50</v>
      </c>
      <c r="F12" s="3">
        <v>6</v>
      </c>
      <c r="G12" s="3">
        <v>5</v>
      </c>
      <c r="H12" s="3">
        <v>2</v>
      </c>
      <c r="I12" s="3">
        <v>20</v>
      </c>
      <c r="J12" s="3">
        <v>18</v>
      </c>
      <c r="K12" s="3">
        <v>4</v>
      </c>
      <c r="L12" s="3" t="s">
        <v>95</v>
      </c>
      <c r="M12" s="3" t="s">
        <v>59</v>
      </c>
      <c r="N12" s="3">
        <v>260</v>
      </c>
      <c r="O12" s="3">
        <v>70</v>
      </c>
    </row>
    <row r="13" spans="1:26" x14ac:dyDescent="0.2">
      <c r="A13" s="3" t="s">
        <v>73</v>
      </c>
      <c r="B13" s="3" t="s">
        <v>72</v>
      </c>
      <c r="C13" s="3">
        <v>240</v>
      </c>
      <c r="D13" s="3">
        <v>60</v>
      </c>
      <c r="E13" s="3">
        <v>10</v>
      </c>
      <c r="F13" s="3">
        <v>5</v>
      </c>
      <c r="G13" s="3">
        <v>4</v>
      </c>
      <c r="H13" s="3">
        <v>1</v>
      </c>
      <c r="I13" s="3">
        <v>0</v>
      </c>
      <c r="J13" s="3">
        <v>8</v>
      </c>
      <c r="K13" s="3">
        <v>4</v>
      </c>
      <c r="L13" s="3" t="s">
        <v>95</v>
      </c>
      <c r="M13" s="3" t="s">
        <v>72</v>
      </c>
      <c r="N13" s="3">
        <v>100</v>
      </c>
      <c r="O13" s="3">
        <v>10</v>
      </c>
    </row>
    <row r="14" spans="1:26" x14ac:dyDescent="0.2">
      <c r="A14" s="3" t="s">
        <v>74</v>
      </c>
      <c r="B14" s="3" t="s">
        <v>72</v>
      </c>
      <c r="C14" s="3">
        <v>300</v>
      </c>
      <c r="D14" s="3">
        <v>70</v>
      </c>
      <c r="E14" s="3">
        <v>15</v>
      </c>
      <c r="F14" s="3">
        <v>4</v>
      </c>
      <c r="G14" s="3">
        <v>4</v>
      </c>
      <c r="H14" s="3">
        <v>1</v>
      </c>
      <c r="I14" s="3">
        <v>0</v>
      </c>
      <c r="J14" s="3">
        <v>12</v>
      </c>
      <c r="K14" s="3">
        <v>4</v>
      </c>
      <c r="L14" s="3" t="s">
        <v>96</v>
      </c>
      <c r="M14" s="3" t="s">
        <v>72</v>
      </c>
      <c r="N14" s="3">
        <v>130</v>
      </c>
      <c r="O14" s="3">
        <v>20</v>
      </c>
    </row>
    <row r="15" spans="1:26" x14ac:dyDescent="0.2">
      <c r="A15" s="3" t="s">
        <v>75</v>
      </c>
      <c r="B15" s="3" t="s">
        <v>72</v>
      </c>
      <c r="C15" s="3">
        <v>360</v>
      </c>
      <c r="D15" s="3">
        <v>90</v>
      </c>
      <c r="E15" s="3">
        <v>20</v>
      </c>
      <c r="F15" s="3">
        <v>4</v>
      </c>
      <c r="G15" s="3">
        <v>4</v>
      </c>
      <c r="H15" s="3">
        <v>2</v>
      </c>
      <c r="I15" s="3">
        <v>0</v>
      </c>
      <c r="J15" s="3">
        <v>15</v>
      </c>
      <c r="K15" s="3">
        <v>4</v>
      </c>
      <c r="L15" s="3" t="s">
        <v>94</v>
      </c>
      <c r="M15" s="3" t="s">
        <v>72</v>
      </c>
      <c r="N15" s="3">
        <v>175</v>
      </c>
      <c r="O15" s="3">
        <v>30</v>
      </c>
    </row>
    <row r="16" spans="1:26" x14ac:dyDescent="0.2">
      <c r="A16" s="3" t="s">
        <v>76</v>
      </c>
      <c r="B16" s="3" t="s">
        <v>72</v>
      </c>
      <c r="C16" s="3">
        <v>240</v>
      </c>
      <c r="D16" s="3">
        <v>55</v>
      </c>
      <c r="E16" s="3">
        <v>10</v>
      </c>
      <c r="F16" s="3">
        <v>5</v>
      </c>
      <c r="G16" s="3">
        <v>4</v>
      </c>
      <c r="H16" s="3">
        <v>1</v>
      </c>
      <c r="I16" s="3">
        <v>0</v>
      </c>
      <c r="J16" s="3">
        <v>15</v>
      </c>
      <c r="K16" s="3">
        <v>4</v>
      </c>
      <c r="L16" s="3" t="s">
        <v>95</v>
      </c>
      <c r="M16" s="3" t="s">
        <v>97</v>
      </c>
      <c r="N16" s="3">
        <v>110</v>
      </c>
      <c r="O16" s="3">
        <v>10</v>
      </c>
    </row>
    <row r="17" spans="1:15" x14ac:dyDescent="0.2">
      <c r="A17" s="3" t="s">
        <v>77</v>
      </c>
      <c r="B17" s="3" t="s">
        <v>72</v>
      </c>
      <c r="C17" s="3">
        <v>300</v>
      </c>
      <c r="D17" s="3">
        <v>65</v>
      </c>
      <c r="E17" s="3">
        <v>15</v>
      </c>
      <c r="F17" s="3">
        <v>4</v>
      </c>
      <c r="G17" s="3">
        <v>4</v>
      </c>
      <c r="H17" s="3">
        <v>1</v>
      </c>
      <c r="I17" s="3">
        <v>0</v>
      </c>
      <c r="J17" s="3">
        <v>18</v>
      </c>
      <c r="K17" s="3">
        <v>4</v>
      </c>
      <c r="L17" s="3" t="s">
        <v>96</v>
      </c>
      <c r="M17" s="3" t="s">
        <v>97</v>
      </c>
      <c r="N17" s="3">
        <v>135</v>
      </c>
      <c r="O17" s="3">
        <v>35</v>
      </c>
    </row>
    <row r="18" spans="1:15" x14ac:dyDescent="0.2">
      <c r="A18" s="3" t="s">
        <v>78</v>
      </c>
      <c r="B18" s="3" t="s">
        <v>72</v>
      </c>
      <c r="C18" s="3">
        <v>360</v>
      </c>
      <c r="D18" s="3">
        <v>80</v>
      </c>
      <c r="E18" s="3">
        <v>20</v>
      </c>
      <c r="F18" s="3">
        <v>4</v>
      </c>
      <c r="G18" s="3">
        <v>4</v>
      </c>
      <c r="H18" s="3">
        <v>2</v>
      </c>
      <c r="I18" s="3">
        <v>0</v>
      </c>
      <c r="J18" s="3">
        <v>25</v>
      </c>
      <c r="K18" s="3">
        <v>4</v>
      </c>
      <c r="L18" s="3" t="s">
        <v>94</v>
      </c>
      <c r="M18" s="3" t="s">
        <v>97</v>
      </c>
      <c r="N18" s="3">
        <v>175</v>
      </c>
      <c r="O18" s="3">
        <v>45</v>
      </c>
    </row>
  </sheetData>
  <mergeCells count="14">
    <mergeCell ref="A1:A2"/>
    <mergeCell ref="C1:C2"/>
    <mergeCell ref="D1:D2"/>
    <mergeCell ref="E1:E2"/>
    <mergeCell ref="F1:F2"/>
    <mergeCell ref="K1:K2"/>
    <mergeCell ref="L1:L2"/>
    <mergeCell ref="N1:O1"/>
    <mergeCell ref="B1:B2"/>
    <mergeCell ref="H1:H2"/>
    <mergeCell ref="J1:J2"/>
    <mergeCell ref="I1:I2"/>
    <mergeCell ref="M1:M2"/>
    <mergeCell ref="G1:G2"/>
  </mergeCells>
  <phoneticPr fontId="1" type="noConversion"/>
  <pageMargins left="0.25" right="0.25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CA4B-75E2-40AC-BB64-656A5E1A4A14}">
  <dimension ref="A1:G9"/>
  <sheetViews>
    <sheetView zoomScaleNormal="100" workbookViewId="0">
      <selection activeCell="E12" sqref="E12"/>
    </sheetView>
  </sheetViews>
  <sheetFormatPr defaultRowHeight="14.25" x14ac:dyDescent="0.2"/>
  <cols>
    <col min="1" max="1" width="8.125" style="8" bestFit="1" customWidth="1"/>
    <col min="2" max="2" width="5.25" style="8" bestFit="1" customWidth="1"/>
    <col min="3" max="16384" width="9" style="8"/>
  </cols>
  <sheetData>
    <row r="1" spans="1:7" x14ac:dyDescent="0.2">
      <c r="A1" s="18" t="s">
        <v>99</v>
      </c>
      <c r="B1" s="18"/>
      <c r="C1" s="18"/>
      <c r="D1" s="18" t="s">
        <v>101</v>
      </c>
      <c r="E1" s="18"/>
      <c r="F1" s="18"/>
      <c r="G1" s="18"/>
    </row>
    <row r="2" spans="1:7" x14ac:dyDescent="0.2">
      <c r="A2" s="18" t="s">
        <v>100</v>
      </c>
      <c r="B2" s="18"/>
      <c r="C2" s="18"/>
    </row>
    <row r="3" spans="1:7" x14ac:dyDescent="0.2">
      <c r="A3" s="14" t="s">
        <v>102</v>
      </c>
      <c r="B3" s="14" t="s">
        <v>136</v>
      </c>
    </row>
    <row r="4" spans="1:7" x14ac:dyDescent="0.2">
      <c r="A4" s="10" t="s">
        <v>103</v>
      </c>
      <c r="B4" s="2">
        <v>2</v>
      </c>
    </row>
    <row r="5" spans="1:7" x14ac:dyDescent="0.2">
      <c r="A5" s="10" t="s">
        <v>105</v>
      </c>
      <c r="B5" s="2">
        <v>1.5</v>
      </c>
    </row>
    <row r="6" spans="1:7" x14ac:dyDescent="0.2">
      <c r="A6" s="10" t="s">
        <v>104</v>
      </c>
      <c r="B6" s="2">
        <v>1.3</v>
      </c>
    </row>
    <row r="7" spans="1:7" x14ac:dyDescent="0.2">
      <c r="A7" s="10" t="s">
        <v>106</v>
      </c>
      <c r="B7" s="2">
        <v>1.2</v>
      </c>
    </row>
    <row r="8" spans="1:7" x14ac:dyDescent="0.2">
      <c r="A8" s="10" t="s">
        <v>107</v>
      </c>
      <c r="B8" s="2">
        <v>1</v>
      </c>
    </row>
    <row r="9" spans="1:7" x14ac:dyDescent="0.2">
      <c r="A9" s="2" t="s">
        <v>108</v>
      </c>
      <c r="B9" s="2">
        <v>0.8</v>
      </c>
    </row>
  </sheetData>
  <mergeCells count="3">
    <mergeCell ref="D1:G1"/>
    <mergeCell ref="A1:C1"/>
    <mergeCell ref="A2:C2"/>
  </mergeCells>
  <phoneticPr fontId="1" type="noConversion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CAB9-A8A0-493A-AAC2-C1CB93B48F23}">
  <dimension ref="A1:I7"/>
  <sheetViews>
    <sheetView workbookViewId="0">
      <selection activeCell="F18" sqref="F18"/>
    </sheetView>
  </sheetViews>
  <sheetFormatPr defaultRowHeight="14.25" x14ac:dyDescent="0.2"/>
  <cols>
    <col min="1" max="1" width="13.375" bestFit="1" customWidth="1"/>
    <col min="2" max="2" width="5.25" bestFit="1" customWidth="1"/>
  </cols>
  <sheetData>
    <row r="1" spans="1:9" x14ac:dyDescent="0.2">
      <c r="A1" s="3" t="s">
        <v>18</v>
      </c>
      <c r="B1" s="2" t="s">
        <v>19</v>
      </c>
      <c r="C1" s="2"/>
      <c r="D1" s="2"/>
      <c r="E1" s="2"/>
      <c r="F1" s="2"/>
      <c r="G1" s="2"/>
      <c r="H1" s="2"/>
      <c r="I1" s="2"/>
    </row>
    <row r="2" spans="1:9" x14ac:dyDescent="0.2">
      <c r="A2" s="4" t="s">
        <v>23</v>
      </c>
      <c r="B2" s="4" t="s">
        <v>20</v>
      </c>
      <c r="C2" s="4" t="s">
        <v>22</v>
      </c>
      <c r="D2" s="5"/>
      <c r="E2" s="5"/>
      <c r="F2" s="5"/>
      <c r="G2" s="5"/>
      <c r="H2" s="5"/>
      <c r="I2" s="5"/>
    </row>
    <row r="3" spans="1:9" x14ac:dyDescent="0.2">
      <c r="A3" s="3" t="s">
        <v>24</v>
      </c>
      <c r="B3" s="3" t="s">
        <v>21</v>
      </c>
      <c r="C3" s="3">
        <v>2</v>
      </c>
      <c r="D3" s="5"/>
      <c r="E3" s="5"/>
      <c r="F3" s="5"/>
      <c r="G3" s="5"/>
      <c r="H3" s="5"/>
      <c r="I3" s="5"/>
    </row>
    <row r="4" spans="1:9" x14ac:dyDescent="0.2">
      <c r="A4" s="3" t="s">
        <v>43</v>
      </c>
      <c r="B4" s="3" t="s">
        <v>25</v>
      </c>
      <c r="C4" s="3">
        <v>1.3</v>
      </c>
      <c r="D4" s="5"/>
      <c r="E4" s="5"/>
      <c r="F4" s="5"/>
      <c r="G4" s="5"/>
      <c r="H4" s="5"/>
      <c r="I4" s="5"/>
    </row>
    <row r="5" spans="1:9" x14ac:dyDescent="0.2">
      <c r="A5" s="3" t="s">
        <v>44</v>
      </c>
      <c r="B5" s="3" t="s">
        <v>28</v>
      </c>
      <c r="C5" s="3">
        <v>1</v>
      </c>
      <c r="D5" s="5"/>
      <c r="E5" s="5"/>
      <c r="F5" s="5"/>
      <c r="G5" s="5"/>
      <c r="H5" s="5"/>
      <c r="I5" s="5"/>
    </row>
    <row r="6" spans="1:9" x14ac:dyDescent="0.2">
      <c r="A6" s="3" t="s">
        <v>45</v>
      </c>
      <c r="B6" s="3" t="s">
        <v>27</v>
      </c>
      <c r="C6" s="3">
        <v>0.7</v>
      </c>
      <c r="D6" s="5"/>
      <c r="E6" s="5"/>
      <c r="F6" s="5"/>
      <c r="G6" s="5"/>
      <c r="H6" s="5"/>
      <c r="I6" s="5"/>
    </row>
    <row r="7" spans="1:9" x14ac:dyDescent="0.2">
      <c r="A7" s="3" t="s">
        <v>46</v>
      </c>
      <c r="B7" s="3" t="s">
        <v>26</v>
      </c>
      <c r="C7" s="3">
        <v>0.5</v>
      </c>
      <c r="D7" s="5"/>
      <c r="E7" s="5"/>
      <c r="F7" s="5"/>
      <c r="G7" s="5"/>
      <c r="H7" s="5"/>
      <c r="I7" s="5"/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0964-BEBF-41E2-8AEB-FF2C62678D46}">
  <dimension ref="A2:D7"/>
  <sheetViews>
    <sheetView workbookViewId="0">
      <selection activeCell="D4" sqref="D4"/>
    </sheetView>
  </sheetViews>
  <sheetFormatPr defaultRowHeight="14.25" x14ac:dyDescent="0.2"/>
  <cols>
    <col min="1" max="4" width="5.25" bestFit="1" customWidth="1"/>
  </cols>
  <sheetData>
    <row r="2" spans="1:4" x14ac:dyDescent="0.2">
      <c r="A2" s="3" t="s">
        <v>109</v>
      </c>
      <c r="B2" s="3" t="s">
        <v>2</v>
      </c>
      <c r="C2" s="3" t="s">
        <v>3</v>
      </c>
      <c r="D2" s="3" t="s">
        <v>149</v>
      </c>
    </row>
    <row r="3" spans="1:4" x14ac:dyDescent="0.2">
      <c r="A3" s="3">
        <v>5</v>
      </c>
      <c r="B3" s="7" t="s">
        <v>83</v>
      </c>
      <c r="C3" s="7" t="s">
        <v>42</v>
      </c>
      <c r="D3" s="7" t="s">
        <v>40</v>
      </c>
    </row>
    <row r="4" spans="1:4" x14ac:dyDescent="0.2">
      <c r="A4" s="3">
        <v>4</v>
      </c>
      <c r="B4" s="7" t="s">
        <v>82</v>
      </c>
      <c r="C4" s="7" t="s">
        <v>70</v>
      </c>
      <c r="D4" s="7" t="s">
        <v>164</v>
      </c>
    </row>
    <row r="5" spans="1:4" x14ac:dyDescent="0.2">
      <c r="A5" s="3">
        <v>3</v>
      </c>
      <c r="B5" s="7" t="s">
        <v>70</v>
      </c>
      <c r="C5" s="7" t="s">
        <v>41</v>
      </c>
      <c r="D5" s="7" t="s">
        <v>39</v>
      </c>
    </row>
    <row r="6" spans="1:4" x14ac:dyDescent="0.2">
      <c r="A6" s="3">
        <v>2</v>
      </c>
      <c r="B6" s="7" t="s">
        <v>40</v>
      </c>
      <c r="C6" s="7" t="s">
        <v>40</v>
      </c>
      <c r="D6" s="7"/>
    </row>
    <row r="7" spans="1:4" x14ac:dyDescent="0.2">
      <c r="A7" s="3">
        <v>1</v>
      </c>
      <c r="B7" s="7">
        <v>0</v>
      </c>
      <c r="C7" s="7">
        <v>0</v>
      </c>
      <c r="D7" s="7"/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C342-1824-4340-937A-470CA6C3053F}">
  <dimension ref="A1:G18"/>
  <sheetViews>
    <sheetView workbookViewId="0">
      <selection activeCell="F21" sqref="F21"/>
    </sheetView>
  </sheetViews>
  <sheetFormatPr defaultRowHeight="14.25" x14ac:dyDescent="0.2"/>
  <cols>
    <col min="1" max="1" width="13" style="5" bestFit="1" customWidth="1"/>
    <col min="2" max="4" width="7.125" style="5" bestFit="1" customWidth="1"/>
    <col min="5" max="5" width="14.375" style="5" bestFit="1" customWidth="1"/>
    <col min="6" max="6" width="16.25" style="5" bestFit="1" customWidth="1"/>
    <col min="7" max="8" width="21.375" style="5" bestFit="1" customWidth="1"/>
    <col min="9" max="16384" width="9" style="5"/>
  </cols>
  <sheetData>
    <row r="1" spans="1:7" x14ac:dyDescent="0.2">
      <c r="E1" s="5" t="s">
        <v>158</v>
      </c>
      <c r="F1" s="5" t="s">
        <v>159</v>
      </c>
      <c r="G1" s="5" t="s">
        <v>160</v>
      </c>
    </row>
    <row r="2" spans="1:7" x14ac:dyDescent="0.2">
      <c r="A2" s="3"/>
      <c r="B2" s="3" t="s">
        <v>5</v>
      </c>
      <c r="C2" s="3" t="s">
        <v>13</v>
      </c>
      <c r="D2" s="3" t="s">
        <v>72</v>
      </c>
    </row>
    <row r="3" spans="1:7" x14ac:dyDescent="0.2">
      <c r="A3" s="3" t="s">
        <v>5</v>
      </c>
      <c r="B3" s="3" t="s">
        <v>47</v>
      </c>
      <c r="C3" s="3" t="s">
        <v>47</v>
      </c>
      <c r="D3" s="3" t="s">
        <v>47</v>
      </c>
    </row>
    <row r="4" spans="1:7" x14ac:dyDescent="0.2">
      <c r="A4" s="3" t="s">
        <v>6</v>
      </c>
      <c r="B4" s="3" t="s">
        <v>47</v>
      </c>
      <c r="C4" s="3" t="s">
        <v>47</v>
      </c>
      <c r="D4" s="3" t="s">
        <v>47</v>
      </c>
    </row>
    <row r="5" spans="1:7" x14ac:dyDescent="0.2">
      <c r="A5" s="3" t="s">
        <v>7</v>
      </c>
      <c r="B5" s="3" t="s">
        <v>47</v>
      </c>
      <c r="C5" s="3" t="s">
        <v>47</v>
      </c>
      <c r="D5" s="3" t="s">
        <v>47</v>
      </c>
    </row>
    <row r="6" spans="1:7" x14ac:dyDescent="0.2">
      <c r="A6" s="3" t="s">
        <v>17</v>
      </c>
      <c r="B6" s="3" t="s">
        <v>48</v>
      </c>
      <c r="C6" s="3" t="s">
        <v>48</v>
      </c>
      <c r="D6" s="3" t="s">
        <v>48</v>
      </c>
    </row>
    <row r="7" spans="1:7" x14ac:dyDescent="0.2">
      <c r="A7" s="3" t="s">
        <v>65</v>
      </c>
      <c r="B7" s="3" t="s">
        <v>57</v>
      </c>
      <c r="C7" s="3" t="s">
        <v>57</v>
      </c>
      <c r="D7" s="3" t="s">
        <v>57</v>
      </c>
    </row>
    <row r="8" spans="1:7" x14ac:dyDescent="0.2">
      <c r="A8" s="3" t="s">
        <v>66</v>
      </c>
      <c r="B8" s="3" t="s">
        <v>58</v>
      </c>
      <c r="C8" s="3" t="s">
        <v>58</v>
      </c>
      <c r="D8" s="3" t="s">
        <v>58</v>
      </c>
    </row>
    <row r="9" spans="1:7" x14ac:dyDescent="0.2">
      <c r="A9" s="3" t="s">
        <v>67</v>
      </c>
      <c r="B9" s="3" t="s">
        <v>57</v>
      </c>
      <c r="C9" s="3" t="s">
        <v>57</v>
      </c>
      <c r="D9" s="3" t="s">
        <v>57</v>
      </c>
    </row>
    <row r="10" spans="1:7" x14ac:dyDescent="0.2">
      <c r="A10" s="3" t="s">
        <v>68</v>
      </c>
      <c r="B10" s="3" t="s">
        <v>58</v>
      </c>
      <c r="C10" s="3" t="s">
        <v>58</v>
      </c>
      <c r="D10" s="3" t="s">
        <v>58</v>
      </c>
    </row>
    <row r="11" spans="1:7" x14ac:dyDescent="0.2">
      <c r="A11" s="3" t="s">
        <v>29</v>
      </c>
      <c r="B11" s="3" t="s">
        <v>59</v>
      </c>
      <c r="C11" s="3" t="s">
        <v>59</v>
      </c>
      <c r="D11" s="3" t="s">
        <v>59</v>
      </c>
    </row>
    <row r="12" spans="1:7" x14ac:dyDescent="0.2">
      <c r="A12" s="3" t="s">
        <v>30</v>
      </c>
      <c r="B12" s="3" t="s">
        <v>59</v>
      </c>
      <c r="C12" s="3" t="s">
        <v>59</v>
      </c>
      <c r="D12" s="3" t="s">
        <v>59</v>
      </c>
    </row>
    <row r="13" spans="1:7" x14ac:dyDescent="0.2">
      <c r="A13" s="3" t="s">
        <v>73</v>
      </c>
      <c r="B13" s="3" t="s">
        <v>72</v>
      </c>
      <c r="C13" s="3" t="s">
        <v>72</v>
      </c>
      <c r="D13" s="3" t="s">
        <v>72</v>
      </c>
    </row>
    <row r="14" spans="1:7" x14ac:dyDescent="0.2">
      <c r="A14" s="3" t="s">
        <v>74</v>
      </c>
      <c r="B14" s="3" t="s">
        <v>72</v>
      </c>
      <c r="C14" s="3" t="s">
        <v>72</v>
      </c>
      <c r="D14" s="3" t="s">
        <v>72</v>
      </c>
    </row>
    <row r="15" spans="1:7" x14ac:dyDescent="0.2">
      <c r="A15" s="3" t="s">
        <v>75</v>
      </c>
      <c r="B15" s="3" t="s">
        <v>72</v>
      </c>
      <c r="C15" s="3" t="s">
        <v>72</v>
      </c>
      <c r="D15" s="3" t="s">
        <v>72</v>
      </c>
    </row>
    <row r="16" spans="1:7" x14ac:dyDescent="0.2">
      <c r="A16" s="3" t="s">
        <v>76</v>
      </c>
      <c r="B16" s="3" t="s">
        <v>162</v>
      </c>
      <c r="C16" s="3" t="s">
        <v>162</v>
      </c>
      <c r="D16" s="3" t="s">
        <v>162</v>
      </c>
    </row>
    <row r="17" spans="1:4" x14ac:dyDescent="0.2">
      <c r="A17" s="3" t="s">
        <v>77</v>
      </c>
      <c r="B17" s="3" t="s">
        <v>162</v>
      </c>
      <c r="C17" s="3" t="s">
        <v>162</v>
      </c>
      <c r="D17" s="3" t="s">
        <v>162</v>
      </c>
    </row>
    <row r="18" spans="1:4" x14ac:dyDescent="0.2">
      <c r="A18" s="3" t="s">
        <v>78</v>
      </c>
      <c r="B18" s="3" t="s">
        <v>162</v>
      </c>
      <c r="C18" s="3" t="s">
        <v>162</v>
      </c>
      <c r="D18" s="3" t="s">
        <v>162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EC9D-D108-4C30-965F-3D71AE5AA99E}">
  <dimension ref="A1:E9"/>
  <sheetViews>
    <sheetView workbookViewId="0">
      <selection activeCell="J10" sqref="J10"/>
    </sheetView>
  </sheetViews>
  <sheetFormatPr defaultRowHeight="14.25" x14ac:dyDescent="0.2"/>
  <cols>
    <col min="1" max="1" width="11" bestFit="1" customWidth="1"/>
    <col min="2" max="2" width="5.25" bestFit="1" customWidth="1"/>
    <col min="3" max="3" width="5.5" bestFit="1" customWidth="1"/>
    <col min="4" max="4" width="5.25" bestFit="1" customWidth="1"/>
  </cols>
  <sheetData>
    <row r="1" spans="1:5" x14ac:dyDescent="0.2">
      <c r="A1" s="19" t="s">
        <v>150</v>
      </c>
      <c r="B1" s="20"/>
      <c r="C1" s="20"/>
      <c r="D1" s="21"/>
      <c r="E1" s="2"/>
    </row>
    <row r="2" spans="1:5" x14ac:dyDescent="0.2">
      <c r="A2" s="4"/>
      <c r="B2" s="4" t="s">
        <v>5</v>
      </c>
      <c r="C2" s="4" t="s">
        <v>13</v>
      </c>
      <c r="D2" s="4" t="s">
        <v>72</v>
      </c>
    </row>
    <row r="3" spans="1:5" x14ac:dyDescent="0.2">
      <c r="A3" s="3" t="s">
        <v>47</v>
      </c>
      <c r="B3" s="3">
        <v>1</v>
      </c>
      <c r="C3" s="3">
        <v>0.85</v>
      </c>
      <c r="D3" s="1">
        <v>1.2</v>
      </c>
    </row>
    <row r="4" spans="1:5" x14ac:dyDescent="0.2">
      <c r="A4" s="3" t="s">
        <v>48</v>
      </c>
      <c r="B4" s="3">
        <v>1.2</v>
      </c>
      <c r="C4" s="3">
        <v>0.67</v>
      </c>
      <c r="D4" s="1">
        <v>1.3</v>
      </c>
    </row>
    <row r="5" spans="1:5" x14ac:dyDescent="0.2">
      <c r="A5" s="3" t="s">
        <v>57</v>
      </c>
      <c r="B5" s="3">
        <v>1</v>
      </c>
      <c r="C5" s="3">
        <v>0.9</v>
      </c>
      <c r="D5" s="1">
        <v>1.3</v>
      </c>
    </row>
    <row r="6" spans="1:5" x14ac:dyDescent="0.2">
      <c r="A6" s="3" t="s">
        <v>58</v>
      </c>
      <c r="B6" s="3">
        <v>1.1000000000000001</v>
      </c>
      <c r="C6" s="3">
        <v>0.95</v>
      </c>
      <c r="D6" s="1">
        <v>1.4</v>
      </c>
    </row>
    <row r="7" spans="1:5" x14ac:dyDescent="0.2">
      <c r="A7" s="3" t="s">
        <v>59</v>
      </c>
      <c r="B7" s="3">
        <v>1.2</v>
      </c>
      <c r="C7" s="3">
        <v>1</v>
      </c>
      <c r="D7" s="1">
        <v>1.5</v>
      </c>
    </row>
    <row r="8" spans="1:5" x14ac:dyDescent="0.2">
      <c r="A8" s="3" t="s">
        <v>72</v>
      </c>
      <c r="B8" s="3">
        <v>1.5</v>
      </c>
      <c r="C8" s="3">
        <v>1.1000000000000001</v>
      </c>
      <c r="D8" s="1">
        <v>1.5</v>
      </c>
    </row>
    <row r="9" spans="1:5" x14ac:dyDescent="0.2">
      <c r="A9" s="3" t="s">
        <v>161</v>
      </c>
      <c r="B9" s="3">
        <v>0.9</v>
      </c>
      <c r="C9" s="3">
        <v>1.5</v>
      </c>
      <c r="D9" s="1">
        <v>1.2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11EC-5667-4EA8-8755-7ED9D3148B8E}">
  <dimension ref="A2:D7"/>
  <sheetViews>
    <sheetView workbookViewId="0">
      <selection activeCell="H10" sqref="H10"/>
    </sheetView>
  </sheetViews>
  <sheetFormatPr defaultRowHeight="14.25" x14ac:dyDescent="0.2"/>
  <cols>
    <col min="1" max="1" width="5.25" bestFit="1" customWidth="1"/>
    <col min="2" max="2" width="9" bestFit="1" customWidth="1"/>
    <col min="3" max="3" width="15.125" bestFit="1" customWidth="1"/>
  </cols>
  <sheetData>
    <row r="2" spans="1:4" x14ac:dyDescent="0.2">
      <c r="A2" s="3" t="s">
        <v>32</v>
      </c>
      <c r="B2" s="3" t="s">
        <v>137</v>
      </c>
      <c r="C2" s="3" t="s">
        <v>154</v>
      </c>
      <c r="D2" s="1" t="s">
        <v>151</v>
      </c>
    </row>
    <row r="3" spans="1:4" x14ac:dyDescent="0.2">
      <c r="A3" s="3" t="s">
        <v>33</v>
      </c>
      <c r="B3" s="3">
        <v>1.5</v>
      </c>
      <c r="C3" s="7" t="s">
        <v>152</v>
      </c>
      <c r="D3" s="16" t="s">
        <v>39</v>
      </c>
    </row>
    <row r="4" spans="1:4" x14ac:dyDescent="0.2">
      <c r="A4" s="3" t="s">
        <v>34</v>
      </c>
      <c r="B4" s="3">
        <v>1.3</v>
      </c>
      <c r="C4" s="7" t="s">
        <v>153</v>
      </c>
      <c r="D4" s="16"/>
    </row>
    <row r="5" spans="1:4" x14ac:dyDescent="0.2">
      <c r="A5" s="3" t="s">
        <v>36</v>
      </c>
      <c r="B5" s="3">
        <v>1</v>
      </c>
      <c r="C5" s="7"/>
      <c r="D5" s="16"/>
    </row>
    <row r="6" spans="1:4" x14ac:dyDescent="0.2">
      <c r="A6" s="3" t="s">
        <v>37</v>
      </c>
      <c r="B6" s="3">
        <v>0.8</v>
      </c>
      <c r="C6" s="7">
        <v>-7.0000000000000007E-2</v>
      </c>
      <c r="D6" s="16"/>
    </row>
    <row r="7" spans="1:4" x14ac:dyDescent="0.2">
      <c r="A7" s="3" t="s">
        <v>38</v>
      </c>
      <c r="B7" s="3">
        <v>0.5</v>
      </c>
      <c r="C7" s="7">
        <v>-0.15</v>
      </c>
      <c r="D7" s="16" t="s">
        <v>71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726C-860B-424E-B9A7-3B8F2693ECFC}">
  <dimension ref="A1:I14"/>
  <sheetViews>
    <sheetView workbookViewId="0">
      <selection activeCell="O13" sqref="O13"/>
    </sheetView>
  </sheetViews>
  <sheetFormatPr defaultRowHeight="14.25" x14ac:dyDescent="0.2"/>
  <cols>
    <col min="1" max="1" width="9" style="5" bestFit="1" customWidth="1"/>
    <col min="2" max="2" width="7.125" style="5" bestFit="1" customWidth="1"/>
    <col min="3" max="6" width="5.25" style="5" bestFit="1" customWidth="1"/>
    <col min="7" max="7" width="13.375" style="6" bestFit="1" customWidth="1"/>
    <col min="8" max="8" width="13" style="5" bestFit="1" customWidth="1"/>
    <col min="9" max="9" width="30.75" style="5" bestFit="1" customWidth="1"/>
    <col min="10" max="16384" width="9" style="5"/>
  </cols>
  <sheetData>
    <row r="1" spans="1:9" x14ac:dyDescent="0.2">
      <c r="A1" s="18" t="s">
        <v>61</v>
      </c>
      <c r="B1" s="18"/>
      <c r="C1" s="18"/>
      <c r="D1" s="18"/>
      <c r="E1" s="18"/>
      <c r="F1" s="18"/>
      <c r="G1" s="18"/>
      <c r="H1" s="18"/>
      <c r="I1" s="18"/>
    </row>
    <row r="2" spans="1:9" x14ac:dyDescent="0.2">
      <c r="A2" s="18" t="s">
        <v>51</v>
      </c>
      <c r="B2" s="18" t="s">
        <v>60</v>
      </c>
      <c r="C2" s="18"/>
      <c r="D2" s="19" t="s">
        <v>155</v>
      </c>
      <c r="E2" s="20"/>
      <c r="F2" s="21"/>
      <c r="G2" s="22" t="s">
        <v>141</v>
      </c>
      <c r="H2" s="18" t="s">
        <v>132</v>
      </c>
      <c r="I2" s="18" t="s">
        <v>56</v>
      </c>
    </row>
    <row r="3" spans="1:9" x14ac:dyDescent="0.2">
      <c r="A3" s="18"/>
      <c r="B3" s="3" t="s">
        <v>10</v>
      </c>
      <c r="C3" s="3" t="s">
        <v>11</v>
      </c>
      <c r="D3" s="3" t="s">
        <v>5</v>
      </c>
      <c r="E3" s="3" t="s">
        <v>13</v>
      </c>
      <c r="F3" s="3" t="s">
        <v>72</v>
      </c>
      <c r="G3" s="22"/>
      <c r="H3" s="18"/>
      <c r="I3" s="18"/>
    </row>
    <row r="4" spans="1:9" ht="42.75" x14ac:dyDescent="0.2">
      <c r="A4" s="3" t="s">
        <v>138</v>
      </c>
      <c r="B4" s="3">
        <v>40</v>
      </c>
      <c r="C4" s="3">
        <v>15</v>
      </c>
      <c r="D4" s="3" t="s">
        <v>89</v>
      </c>
      <c r="E4" s="3"/>
      <c r="F4" s="3"/>
      <c r="G4" s="15" t="s">
        <v>146</v>
      </c>
      <c r="H4" s="3" t="s">
        <v>89</v>
      </c>
      <c r="I4" s="9" t="s">
        <v>93</v>
      </c>
    </row>
    <row r="5" spans="1:9" ht="28.5" x14ac:dyDescent="0.2">
      <c r="A5" s="3" t="s">
        <v>31</v>
      </c>
      <c r="B5" s="3">
        <v>30</v>
      </c>
      <c r="C5" s="3">
        <v>15</v>
      </c>
      <c r="D5" s="3" t="s">
        <v>89</v>
      </c>
      <c r="E5" s="3"/>
      <c r="F5" s="3"/>
      <c r="G5" s="15" t="s">
        <v>142</v>
      </c>
      <c r="H5" s="3" t="s">
        <v>89</v>
      </c>
      <c r="I5" s="9" t="s">
        <v>92</v>
      </c>
    </row>
    <row r="6" spans="1:9" ht="42.75" x14ac:dyDescent="0.2">
      <c r="A6" s="3" t="s">
        <v>126</v>
      </c>
      <c r="B6" s="3">
        <v>35</v>
      </c>
      <c r="C6" s="3">
        <v>20</v>
      </c>
      <c r="D6" s="3" t="s">
        <v>89</v>
      </c>
      <c r="E6" s="3"/>
      <c r="F6" s="3"/>
      <c r="G6" s="15" t="s">
        <v>142</v>
      </c>
      <c r="H6" s="3" t="s">
        <v>89</v>
      </c>
      <c r="I6" s="9" t="s">
        <v>127</v>
      </c>
    </row>
    <row r="7" spans="1:9" x14ac:dyDescent="0.2">
      <c r="A7" s="3" t="s">
        <v>139</v>
      </c>
      <c r="B7" s="3">
        <v>50</v>
      </c>
      <c r="C7" s="3">
        <v>10</v>
      </c>
      <c r="D7" s="3" t="s">
        <v>89</v>
      </c>
      <c r="E7" s="3"/>
      <c r="F7" s="3"/>
      <c r="G7" s="7" t="s">
        <v>52</v>
      </c>
      <c r="H7" s="3" t="s">
        <v>89</v>
      </c>
      <c r="I7" s="3"/>
    </row>
    <row r="8" spans="1:9" x14ac:dyDescent="0.2">
      <c r="A8" s="3" t="s">
        <v>54</v>
      </c>
      <c r="B8" s="3">
        <v>45</v>
      </c>
      <c r="C8" s="3">
        <v>10</v>
      </c>
      <c r="D8" s="3" t="s">
        <v>89</v>
      </c>
      <c r="E8" s="3"/>
      <c r="F8" s="3"/>
      <c r="G8" s="7" t="s">
        <v>53</v>
      </c>
      <c r="H8" s="3" t="s">
        <v>89</v>
      </c>
      <c r="I8" s="3" t="s">
        <v>91</v>
      </c>
    </row>
    <row r="9" spans="1:9" ht="42.75" x14ac:dyDescent="0.2">
      <c r="A9" s="3" t="s">
        <v>55</v>
      </c>
      <c r="B9" s="3">
        <v>40</v>
      </c>
      <c r="C9" s="3">
        <v>20</v>
      </c>
      <c r="D9" s="3" t="s">
        <v>89</v>
      </c>
      <c r="E9" s="3"/>
      <c r="F9" s="3"/>
      <c r="G9" s="15" t="s">
        <v>143</v>
      </c>
      <c r="H9" s="3" t="s">
        <v>89</v>
      </c>
      <c r="I9" s="3" t="s">
        <v>90</v>
      </c>
    </row>
    <row r="10" spans="1:9" x14ac:dyDescent="0.2">
      <c r="A10" s="3" t="s">
        <v>121</v>
      </c>
      <c r="B10" s="3">
        <v>20</v>
      </c>
      <c r="C10" s="3">
        <v>5</v>
      </c>
      <c r="D10" s="3" t="s">
        <v>89</v>
      </c>
      <c r="E10" s="3"/>
      <c r="F10" s="3"/>
      <c r="G10" s="7" t="s">
        <v>122</v>
      </c>
      <c r="H10" s="3" t="s">
        <v>89</v>
      </c>
      <c r="I10" s="3" t="s">
        <v>123</v>
      </c>
    </row>
    <row r="11" spans="1:9" ht="42.75" x14ac:dyDescent="0.2">
      <c r="A11" s="3" t="s">
        <v>124</v>
      </c>
      <c r="B11" s="3">
        <v>20</v>
      </c>
      <c r="C11" s="3">
        <v>5</v>
      </c>
      <c r="D11" s="3" t="s">
        <v>89</v>
      </c>
      <c r="E11" s="9" t="s">
        <v>89</v>
      </c>
      <c r="F11" s="9" t="s">
        <v>89</v>
      </c>
      <c r="G11" s="15" t="s">
        <v>148</v>
      </c>
      <c r="H11" s="3" t="s">
        <v>89</v>
      </c>
      <c r="I11" s="9" t="s">
        <v>147</v>
      </c>
    </row>
    <row r="12" spans="1:9" ht="28.5" x14ac:dyDescent="0.2">
      <c r="A12" s="3" t="s">
        <v>125</v>
      </c>
      <c r="B12" s="3">
        <v>25</v>
      </c>
      <c r="C12" s="3">
        <v>10</v>
      </c>
      <c r="D12" s="3" t="s">
        <v>89</v>
      </c>
      <c r="E12" s="9" t="s">
        <v>89</v>
      </c>
      <c r="F12" s="9" t="s">
        <v>89</v>
      </c>
      <c r="G12" s="15" t="s">
        <v>144</v>
      </c>
      <c r="H12" s="3" t="s">
        <v>89</v>
      </c>
      <c r="I12" s="9" t="s">
        <v>128</v>
      </c>
    </row>
    <row r="13" spans="1:9" ht="57" x14ac:dyDescent="0.2">
      <c r="A13" s="3" t="s">
        <v>140</v>
      </c>
      <c r="B13" s="3">
        <v>40</v>
      </c>
      <c r="C13" s="3">
        <v>20</v>
      </c>
      <c r="D13" s="3"/>
      <c r="E13" s="3"/>
      <c r="F13" s="3" t="s">
        <v>89</v>
      </c>
      <c r="G13" s="15" t="s">
        <v>145</v>
      </c>
      <c r="H13" s="3" t="s">
        <v>89</v>
      </c>
      <c r="I13" s="3"/>
    </row>
    <row r="14" spans="1:9" x14ac:dyDescent="0.2">
      <c r="A14" s="3" t="s">
        <v>130</v>
      </c>
      <c r="B14" s="3">
        <v>50</v>
      </c>
      <c r="C14" s="3">
        <v>20</v>
      </c>
      <c r="D14" s="9"/>
      <c r="E14" s="9" t="s">
        <v>89</v>
      </c>
      <c r="F14" s="9" t="s">
        <v>89</v>
      </c>
      <c r="G14" s="7" t="s">
        <v>131</v>
      </c>
      <c r="H14" s="3" t="s">
        <v>89</v>
      </c>
      <c r="I14" s="3"/>
    </row>
  </sheetData>
  <mergeCells count="7">
    <mergeCell ref="A1:I1"/>
    <mergeCell ref="I2:I3"/>
    <mergeCell ref="A2:A3"/>
    <mergeCell ref="B2:C2"/>
    <mergeCell ref="G2:G3"/>
    <mergeCell ref="H2:H3"/>
    <mergeCell ref="D2:F2"/>
  </mergeCells>
  <phoneticPr fontId="1" type="noConversion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2E2B-C6DC-4160-8685-F454FBB4C78C}">
  <dimension ref="A1:K17"/>
  <sheetViews>
    <sheetView tabSelected="1" workbookViewId="0"/>
  </sheetViews>
  <sheetFormatPr defaultRowHeight="14.25" x14ac:dyDescent="0.2"/>
  <cols>
    <col min="1" max="1" width="15.125" style="5" bestFit="1" customWidth="1"/>
    <col min="2" max="2" width="15.875" style="5" bestFit="1" customWidth="1"/>
    <col min="3" max="3" width="15.625" style="5" bestFit="1" customWidth="1"/>
    <col min="4" max="4" width="22.875" style="5" bestFit="1" customWidth="1"/>
    <col min="5" max="5" width="15.125" style="5" bestFit="1" customWidth="1"/>
    <col min="6" max="6" width="8.625" style="5" bestFit="1" customWidth="1"/>
    <col min="7" max="7" width="9" style="5" bestFit="1" customWidth="1"/>
    <col min="8" max="8" width="17.25" style="5" bestFit="1" customWidth="1"/>
    <col min="9" max="16384" width="9" style="5"/>
  </cols>
  <sheetData>
    <row r="1" spans="1:11" x14ac:dyDescent="0.2">
      <c r="A1" s="3" t="s">
        <v>163</v>
      </c>
      <c r="B1" s="19" t="s">
        <v>133</v>
      </c>
      <c r="C1" s="20"/>
      <c r="D1" s="20"/>
      <c r="E1" s="20"/>
      <c r="F1" s="21"/>
      <c r="G1" s="17"/>
      <c r="H1" s="17"/>
      <c r="I1" s="8"/>
      <c r="J1" s="8"/>
      <c r="K1" s="8"/>
    </row>
    <row r="2" spans="1:11" x14ac:dyDescent="0.2">
      <c r="A2" s="3" t="s">
        <v>113</v>
      </c>
      <c r="B2" s="23" t="s">
        <v>134</v>
      </c>
      <c r="C2" s="24"/>
      <c r="D2" s="24"/>
      <c r="E2" s="24"/>
      <c r="F2" s="24"/>
      <c r="G2" s="24"/>
      <c r="H2" s="25"/>
      <c r="I2" s="2"/>
      <c r="J2" s="8"/>
      <c r="K2" s="8"/>
    </row>
    <row r="3" spans="1:11" x14ac:dyDescent="0.2">
      <c r="A3" s="3" t="s">
        <v>69</v>
      </c>
      <c r="B3" s="13" t="s">
        <v>87</v>
      </c>
      <c r="C3" s="5" t="s">
        <v>156</v>
      </c>
      <c r="D3" s="5" t="s">
        <v>157</v>
      </c>
    </row>
    <row r="4" spans="1:11" x14ac:dyDescent="0.2">
      <c r="A4" s="3" t="s">
        <v>88</v>
      </c>
      <c r="B4" s="3">
        <v>40</v>
      </c>
      <c r="C4" s="3">
        <v>30</v>
      </c>
    </row>
    <row r="6" spans="1:11" x14ac:dyDescent="0.2">
      <c r="A6" s="18" t="s">
        <v>63</v>
      </c>
      <c r="B6" s="18"/>
      <c r="C6" s="18"/>
      <c r="E6" s="18" t="s">
        <v>64</v>
      </c>
      <c r="F6" s="18"/>
      <c r="G6" s="18"/>
      <c r="H6" s="8"/>
      <c r="I6" s="8"/>
    </row>
    <row r="7" spans="1:11" x14ac:dyDescent="0.2">
      <c r="A7" s="3"/>
      <c r="B7" s="3" t="s">
        <v>79</v>
      </c>
      <c r="C7" s="3" t="s">
        <v>62</v>
      </c>
      <c r="E7" s="3"/>
      <c r="F7" s="3" t="s">
        <v>116</v>
      </c>
      <c r="G7" s="3" t="s">
        <v>117</v>
      </c>
    </row>
    <row r="8" spans="1:11" x14ac:dyDescent="0.2">
      <c r="A8" s="3" t="s">
        <v>120</v>
      </c>
      <c r="B8" s="3" t="s">
        <v>118</v>
      </c>
      <c r="C8" s="3" t="s">
        <v>118</v>
      </c>
      <c r="E8" s="3" t="s">
        <v>110</v>
      </c>
      <c r="F8" s="3">
        <f>B12</f>
        <v>40</v>
      </c>
      <c r="G8" s="3">
        <f>C12</f>
        <v>40</v>
      </c>
    </row>
    <row r="9" spans="1:11" x14ac:dyDescent="0.2">
      <c r="A9" s="3" t="s">
        <v>109</v>
      </c>
      <c r="B9" s="3">
        <v>1</v>
      </c>
      <c r="C9" s="3">
        <v>1</v>
      </c>
      <c r="E9" s="3" t="s">
        <v>114</v>
      </c>
      <c r="F9" s="12" t="str">
        <f>IF(C14=0,"无装甲", B15/ C14)</f>
        <v>无装甲</v>
      </c>
      <c r="G9" s="11" t="str">
        <f>IF(B14=0,"无装甲", C15 / B14)</f>
        <v>无装甲</v>
      </c>
    </row>
    <row r="10" spans="1:11" x14ac:dyDescent="0.2">
      <c r="A10" s="3" t="s">
        <v>32</v>
      </c>
      <c r="B10" s="3" t="s">
        <v>35</v>
      </c>
      <c r="C10" s="3" t="s">
        <v>36</v>
      </c>
      <c r="E10" s="3" t="s">
        <v>115</v>
      </c>
      <c r="F10" s="3">
        <f>IF(F9="无装甲", 1, IF(F9&gt;1.2, 2, IF(F9&gt;1, 1.3, IF(F9&gt;0.8, 1, IF(F9&gt;0.5, 0.7, 0.5)))))</f>
        <v>1</v>
      </c>
      <c r="G10" s="3">
        <f>IF(G9="无装甲", 1, IF(G9&gt;1.2, 2, IF(G9&gt;1, 1.3, IF(G9&gt;0.8, 1, IF(G9&gt;0.5, 0.7, 0.5)))))</f>
        <v>1</v>
      </c>
    </row>
    <row r="11" spans="1:11" x14ac:dyDescent="0.2">
      <c r="A11" s="3" t="s">
        <v>1</v>
      </c>
      <c r="B11" s="3">
        <f>VLOOKUP(B8, 基础!A:J, 3, 0)</f>
        <v>200</v>
      </c>
      <c r="C11" s="3">
        <f>VLOOKUP(C8, 基础!A:J, 3, 0)</f>
        <v>200</v>
      </c>
      <c r="E11" s="3" t="s">
        <v>119</v>
      </c>
      <c r="F11" s="3">
        <f>VLOOKUP(VLOOKUP(B8, 基础!A:M, 13, 0), 攻击倍率!A:D, IF(VLOOKUP(C8, 基础!A:B, 2, 0)="步兵", 2, IF(VLOOKUP(C8, 基础!A:B, 2, 0)="载具", 3, 4)), 0)</f>
        <v>1</v>
      </c>
      <c r="G11" s="3">
        <f>VLOOKUP(VLOOKUP(C8, 基础!A:M, 13, 0), 攻击倍率!A:D, IF(VLOOKUP(B8, 基础!A:B, 2, 0)="步兵", 2, IF(VLOOKUP(B8, 基础!A:B, 2, 0)="载具", 3, 4)), 0)</f>
        <v>1</v>
      </c>
    </row>
    <row r="12" spans="1:11" x14ac:dyDescent="0.2">
      <c r="A12" s="3" t="s">
        <v>110</v>
      </c>
      <c r="B12" s="3">
        <f>IF(B8="重坦", IF(B17&gt;=2, 75, 90), VLOOKUP(B8, 基础!A:D, 4, 0)) + IFERROR(VLOOKUP(B9, 等级!A:B, 2, 0), 0)</f>
        <v>40</v>
      </c>
      <c r="C12" s="3">
        <f>IF(C8="重坦", IF(B17&gt;=2, 75, 90), VLOOKUP(C8, 基础!A:D, 4, 0)) + IFERROR(VLOOKUP(C9, 等级!A:B, 2, 0), 0)</f>
        <v>40</v>
      </c>
      <c r="E12" s="3" t="s">
        <v>111</v>
      </c>
      <c r="F12" s="3">
        <f>(VLOOKUP(C8, 基础!A:E, 5, 0) + IFERROR(VLOOKUP(C9, 等级!A:C, 3, 0), 0)) * VLOOKUP(C10, 士气!A:B, 2, 0)</f>
        <v>20</v>
      </c>
      <c r="G12" s="3">
        <f>(VLOOKUP(B8, 基础!A:E, 5, 0) + IFERROR(VLOOKUP(B9, 等级!A:C, 3, 0), 0)) * VLOOKUP(B10, 士气!A:B, 2, 0)</f>
        <v>20</v>
      </c>
    </row>
    <row r="13" spans="1:11" x14ac:dyDescent="0.2">
      <c r="A13" s="3" t="s">
        <v>111</v>
      </c>
      <c r="B13" s="3">
        <f>(VLOOKUP(B8, 基础!A:E, 5, 0) + IFERROR(VLOOKUP(B9, 等级!A:C, 3, 0), 0)) * VLOOKUP(B10, 士气!A:B, 2, 0)</f>
        <v>20</v>
      </c>
      <c r="C13" s="3">
        <f>(VLOOKUP(C8, 基础!A:E, 5, 0) + IFERROR(VLOOKUP(C9, 等级!A:C, 3, 0), 0)) * VLOOKUP(C10, 士气!A:B, 2, 0)</f>
        <v>20</v>
      </c>
      <c r="E13" s="3" t="s">
        <v>98</v>
      </c>
      <c r="F13" s="3" t="s">
        <v>129</v>
      </c>
      <c r="G13" s="3">
        <f>_xlfn.LET(_xlpm.diff, C16 - B16, IF(_xlpm.diff&gt;5, 2, IF(_xlpm.diff&gt;3, 1.5, IF(_xlpm.diff&gt;1, 1.3, IF(_xlpm.diff=1, 1.2, IF(_xlpm.diff&gt;-3, 1, 0.8))))))</f>
        <v>1</v>
      </c>
    </row>
    <row r="14" spans="1:11" x14ac:dyDescent="0.2">
      <c r="A14" s="3" t="s">
        <v>15</v>
      </c>
      <c r="B14" s="3">
        <f>VLOOKUP(B8, 基础!A:J, 9, 0)</f>
        <v>0</v>
      </c>
      <c r="C14" s="3">
        <f>VLOOKUP(C8, 基础!A:J, 9, 0)</f>
        <v>0</v>
      </c>
      <c r="E14" s="3" t="s">
        <v>84</v>
      </c>
      <c r="F14" s="3">
        <f>MAX((F8 * VLOOKUP(B10, 士气!A:B, 2, 0) * F11- F12), B4) * F10* 0.9</f>
        <v>36</v>
      </c>
      <c r="G14" s="3">
        <f>MAX((G8*G11*VLOOKUP(C10,士气!A:B,2,0)*G13-G12),C4)*G10*0.9</f>
        <v>27</v>
      </c>
    </row>
    <row r="15" spans="1:11" x14ac:dyDescent="0.2">
      <c r="A15" s="3" t="s">
        <v>14</v>
      </c>
      <c r="B15" s="3">
        <f>VLOOKUP(B8, 基础!A:J, 10, 0) + IFERROR(VLOOKUP(B9, 等级!A:D, 4, 0), 0)</f>
        <v>6</v>
      </c>
      <c r="C15" s="3">
        <f>VLOOKUP(C8, 基础!A:J, 10, 0) + IFERROR(VLOOKUP(C9, 等级!A:D, 4, 0), 0)</f>
        <v>6</v>
      </c>
      <c r="E15" s="3" t="s">
        <v>85</v>
      </c>
      <c r="F15" s="11">
        <f ca="1">MAX((F8 * VLOOKUP(B10, 士气!A:B, 2, 0)* F11 - F12), B4)  * F10* (0.9 + 0.25 * RAND())</f>
        <v>44.472119623922204</v>
      </c>
      <c r="G15" s="11">
        <f ca="1">MAX((G8*G11*VLOOKUP(C10,士气!A:B,2,0)*G13-G12),C4)*G10*(0.9+0.25*RAND())</f>
        <v>31.552116800536258</v>
      </c>
    </row>
    <row r="16" spans="1:11" x14ac:dyDescent="0.2">
      <c r="A16" s="3" t="s">
        <v>8</v>
      </c>
      <c r="B16" s="3">
        <f>VLOOKUP(B8, 基础!A:J,7, 0)</f>
        <v>5</v>
      </c>
      <c r="C16" s="3">
        <f>VLOOKUP(C8, 基础!A:J, 7, 0)</f>
        <v>5</v>
      </c>
      <c r="E16" s="3" t="s">
        <v>86</v>
      </c>
      <c r="F16" s="3">
        <f>MAX((F8 * VLOOKUP(B10, 士气!A:B, 2, 0)* F11 - F12),B4) * F10* (0.9 + 0.25)</f>
        <v>46</v>
      </c>
      <c r="G16" s="3">
        <f>MAX((G8*G11*VLOOKUP(C10,士气!A:B,2,0)*G13-G12),C4)*G10*(0.9 + 0.25)</f>
        <v>34.5</v>
      </c>
    </row>
    <row r="17" spans="1:3" x14ac:dyDescent="0.2">
      <c r="A17" s="3" t="s">
        <v>112</v>
      </c>
      <c r="B17" s="2">
        <v>1</v>
      </c>
      <c r="C17" s="8"/>
    </row>
  </sheetData>
  <mergeCells count="4">
    <mergeCell ref="E6:G6"/>
    <mergeCell ref="A6:C6"/>
    <mergeCell ref="B1:F1"/>
    <mergeCell ref="B2:H2"/>
  </mergeCells>
  <phoneticPr fontId="1" type="noConversion"/>
  <dataValidations count="1">
    <dataValidation type="list" allowBlank="1" showInputMessage="1" showErrorMessage="1" sqref="B17" xr:uid="{5D329C52-BB1C-4428-8899-B84D692DF135}">
      <formula1>"1,2,3"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22036C-1F67-410D-9414-2CB336F4736B}">
          <x14:formula1>
            <xm:f>士气!$A$3:$A$7</xm:f>
          </x14:formula1>
          <xm:sqref>B10:C10</xm:sqref>
        </x14:dataValidation>
        <x14:dataValidation type="list" allowBlank="1" showInputMessage="1" showErrorMessage="1" xr:uid="{47466C0C-B8F9-4042-ABEF-89CE0341A6A4}">
          <x14:formula1>
            <xm:f>等级!$A$3:$A$7</xm:f>
          </x14:formula1>
          <xm:sqref>B9:C9</xm:sqref>
        </x14:dataValidation>
        <x14:dataValidation type="list" allowBlank="1" showInputMessage="1" showErrorMessage="1" xr:uid="{50D66608-606F-414B-AB5B-C797D74E554F}">
          <x14:formula1>
            <xm:f>基础!$A$3:$A$18</xm:f>
          </x14:formula1>
          <xm:sqref>B8:C8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基础</vt:lpstr>
      <vt:lpstr>主动性</vt:lpstr>
      <vt:lpstr>穿甲</vt:lpstr>
      <vt:lpstr>等级</vt:lpstr>
      <vt:lpstr>进攻方式</vt:lpstr>
      <vt:lpstr>攻击倍率</vt:lpstr>
      <vt:lpstr>士气</vt:lpstr>
      <vt:lpstr>装备 乘员</vt:lpstr>
      <vt:lpstr>伤害计算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HFWR</dc:creator>
  <cp:lastModifiedBy>为刃 风</cp:lastModifiedBy>
  <cp:lastPrinted>2026-05-11T12:46:32Z</cp:lastPrinted>
  <dcterms:created xsi:type="dcterms:W3CDTF">2015-06-05T18:19:34Z</dcterms:created>
  <dcterms:modified xsi:type="dcterms:W3CDTF">2026-08-24T12:23:37Z</dcterms:modified>
</cp:coreProperties>
</file>